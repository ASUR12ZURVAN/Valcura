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Clinic_Profile" sheetId="2" r:id="rId6"/>
    <sheet state="visible" name="Team_Master" sheetId="3" r:id="rId7"/>
    <sheet state="visible" name="Patient_Contact" sheetId="4" r:id="rId8"/>
    <sheet state="visible" name="Opportunities" sheetId="5" r:id="rId9"/>
    <sheet state="visible" name="Interaction_Log" sheetId="6" r:id="rId10"/>
    <sheet state="visible" name="Treatment_Config" sheetId="7" r:id="rId11"/>
    <sheet state="visible" name="Monthly_Metrics" sheetId="8" r:id="rId12"/>
    <sheet state="visible" name="Receptionist from response" sheetId="9" r:id="rId13"/>
    <sheet state="visible" name="Dentist Form response" sheetId="10" r:id="rId14"/>
    <sheet state="hidden" name="System_Config" sheetId="11" r:id="rId15"/>
  </sheets>
  <definedNames/>
  <calcPr/>
</workbook>
</file>

<file path=xl/sharedStrings.xml><?xml version="1.0" encoding="utf-8"?>
<sst xmlns="http://schemas.openxmlformats.org/spreadsheetml/2006/main" count="171" uniqueCount="135">
  <si>
    <t>StaffID</t>
  </si>
  <si>
    <t>PatientID</t>
  </si>
  <si>
    <t>ClinicID</t>
  </si>
  <si>
    <t>VALCURA — SIMPLIFIED REVENUE INTELLIGENCE DATABASE</t>
  </si>
  <si>
    <t>ExternalCRM_ID</t>
  </si>
  <si>
    <t>PatientName</t>
  </si>
  <si>
    <t>PhoneNumber</t>
  </si>
  <si>
    <t>StaffName</t>
  </si>
  <si>
    <t>PhoneHash_Analytics</t>
  </si>
  <si>
    <t>Role</t>
  </si>
  <si>
    <t>WhatsAppNumber</t>
  </si>
  <si>
    <t>ActiveStatus</t>
  </si>
  <si>
    <t>StartDate</t>
  </si>
  <si>
    <t>CreatedAt</t>
  </si>
  <si>
    <t>NewExistingPatient</t>
  </si>
  <si>
    <t>PreferredLanguage</t>
  </si>
  <si>
    <t>CommunicationAllowed</t>
  </si>
  <si>
    <t>DataSource</t>
  </si>
  <si>
    <t>Built for minimum clinic effort: manual inputs only where human judgement is unavoidable; everything else should be imported, derived or automated.</t>
  </si>
  <si>
    <t>UpdatedAt</t>
  </si>
  <si>
    <t>ClinicName</t>
  </si>
  <si>
    <t>City</t>
  </si>
  <si>
    <t>CORE KPI</t>
  </si>
  <si>
    <t>Locality</t>
  </si>
  <si>
    <t>ClinicType</t>
  </si>
  <si>
    <t>ChairCount</t>
  </si>
  <si>
    <t>VALUE</t>
  </si>
  <si>
    <t>PrimarySpecialty</t>
  </si>
  <si>
    <t/>
  </si>
  <si>
    <t>MonthlyRevenueBaseline_INR</t>
  </si>
  <si>
    <t>OPERATIONS / REVENUE</t>
  </si>
  <si>
    <t>ReceptionTeamSize</t>
  </si>
  <si>
    <t>OnboardingDate</t>
  </si>
  <si>
    <t>CRM_Status</t>
  </si>
  <si>
    <t>Total opportunities</t>
  </si>
  <si>
    <t>CRM_Name</t>
  </si>
  <si>
    <t>CRM_IntegrationMode</t>
  </si>
  <si>
    <t>ValcuraPlan</t>
  </si>
  <si>
    <t>Pipeline value</t>
  </si>
  <si>
    <t>Consultations completed</t>
  </si>
  <si>
    <t>Revenue at risk</t>
  </si>
  <si>
    <t>Treatments started</t>
  </si>
  <si>
    <t>Realized revenue</t>
  </si>
  <si>
    <t>Inquiry → Consultation</t>
  </si>
  <si>
    <t>Follow-up compliance</t>
  </si>
  <si>
    <t>Consultation → Treatment</t>
  </si>
  <si>
    <t>Average NPS</t>
  </si>
  <si>
    <t>Missed-call recovery</t>
  </si>
  <si>
    <t>OpportunityID</t>
  </si>
  <si>
    <t>ExternalCRM_OpportunityID</t>
  </si>
  <si>
    <t>InquiryDateTime</t>
  </si>
  <si>
    <t>InquiryType</t>
  </si>
  <si>
    <t>LeadSource</t>
  </si>
  <si>
    <t>TreatmentConcern</t>
  </si>
  <si>
    <t>AppointmentDateTime</t>
  </si>
  <si>
    <t>ConsultationDateTime</t>
  </si>
  <si>
    <t>DoctorID</t>
  </si>
  <si>
    <t>TreatmentAdvised</t>
  </si>
  <si>
    <t>WhyTreatmentAdvised</t>
  </si>
  <si>
    <t>ATSValue_INR</t>
  </si>
  <si>
    <t>ATSCategory</t>
  </si>
  <si>
    <t>UrgencyLevel</t>
  </si>
  <si>
    <t>InitialObjection</t>
  </si>
  <si>
    <t>CurrentObjection</t>
  </si>
  <si>
    <t>OpportunityStatus</t>
  </si>
  <si>
    <t>LastInteractionDateTime</t>
  </si>
  <si>
    <t>NextFollowupDateTime</t>
  </si>
  <si>
    <t>TreatmentStartDate</t>
  </si>
  <si>
    <t>TreatmentCompletionDate</t>
  </si>
  <si>
    <t>RealizedRevenue_INR</t>
  </si>
  <si>
    <t>LostReason</t>
  </si>
  <si>
    <t>NPSScore</t>
  </si>
  <si>
    <t>ConversionProbability_Pct</t>
  </si>
  <si>
    <t>WeightedPipelineValue_INR</t>
  </si>
  <si>
    <t>RevenueAtRisk_INR</t>
  </si>
  <si>
    <t>ConversionDays</t>
  </si>
  <si>
    <t>InteractionID</t>
  </si>
  <si>
    <t>EventDateTime</t>
  </si>
  <si>
    <t>Channel</t>
  </si>
  <si>
    <t>Direction</t>
  </si>
  <si>
    <t>InteractionType</t>
  </si>
  <si>
    <t>SequenceName</t>
  </si>
  <si>
    <t>DayInSequence</t>
  </si>
  <si>
    <t>MessageVariantID</t>
  </si>
  <si>
    <t>CallObjective</t>
  </si>
  <si>
    <t>Outcome</t>
  </si>
  <si>
    <t>ResponseStatus</t>
  </si>
  <si>
    <t>PreviousObjection</t>
  </si>
  <si>
    <t>ObservedObjection</t>
  </si>
  <si>
    <t>ComplianceFlag</t>
  </si>
  <si>
    <t>DeliveryStatus</t>
  </si>
  <si>
    <t>AI_Summary</t>
  </si>
  <si>
    <t>ConversionFingerprintFlag</t>
  </si>
  <si>
    <t>Notes</t>
  </si>
  <si>
    <t>Treatment</t>
  </si>
  <si>
    <t>DefaultATSValue_INR</t>
  </si>
  <si>
    <t>ExpectedSittings</t>
  </si>
  <si>
    <t>FollowupTrack</t>
  </si>
  <si>
    <t>DefaultUrgency</t>
  </si>
  <si>
    <t>Month</t>
  </si>
  <si>
    <t>ConfirmedRevenue_INR</t>
  </si>
  <si>
    <t>InquiryCount</t>
  </si>
  <si>
    <t>ConsultationCount</t>
  </si>
  <si>
    <t>TreatmentStartedCount</t>
  </si>
  <si>
    <t>InquiryToConsult_Pct</t>
  </si>
  <si>
    <t>ConsultToTreatment_Pct</t>
  </si>
  <si>
    <t>MissedCallRecovery_Pct</t>
  </si>
  <si>
    <t>FollowupCompliance_Pct</t>
  </si>
  <si>
    <t>PipelineValue_INR</t>
  </si>
  <si>
    <t>RecoveredRevenue_INR</t>
  </si>
  <si>
    <t>AvgNPS</t>
  </si>
  <si>
    <t>DataQuality_Pct</t>
  </si>
  <si>
    <t>Forecast30D_INR</t>
  </si>
  <si>
    <t>Forecast60D_INR</t>
  </si>
  <si>
    <t>Forecast90D_INR</t>
  </si>
  <si>
    <t>Timestamp</t>
  </si>
  <si>
    <t>Patient Name</t>
  </si>
  <si>
    <t>Mobile Number</t>
  </si>
  <si>
    <t>Is this a new patient or existing?</t>
  </si>
  <si>
    <t>Patient's main concern</t>
  </si>
  <si>
    <t>Appointment booked?</t>
  </si>
  <si>
    <t>Appointment date &amp; time?</t>
  </si>
  <si>
    <t>Treatment Advised</t>
  </si>
  <si>
    <t>Why is this treatment advised?</t>
  </si>
  <si>
    <t>Estimated treatment value</t>
  </si>
  <si>
    <t>Urgency</t>
  </si>
  <si>
    <t>Why the patient may not start treatment ?</t>
  </si>
  <si>
    <t>Any Specific remarks ?</t>
  </si>
  <si>
    <t>ConfigType</t>
  </si>
  <si>
    <t>Code</t>
  </si>
  <si>
    <t>DisplayValue</t>
  </si>
  <si>
    <t>Objection</t>
  </si>
  <si>
    <t>Language</t>
  </si>
  <si>
    <t>MetaTemplateName</t>
  </si>
  <si>
    <t>Version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</si>
</sst>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₹#,##0"/>
    <numFmt numFmtId="165" formatCode="0.0%"/>
  </numFmts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sz val="16.0"/>
      <color rgb="FFD5A83E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11111"/>
        <bgColor rgb="FF111111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ill="1" applyFont="1">
      <alignment vertical="center"/>
    </xf>
    <xf borderId="0" fillId="0" fontId="3" numFmtId="0" xfId="0" applyAlignment="1" applyFont="1">
      <alignment readingOrder="0"/>
    </xf>
    <xf borderId="0" fillId="2" fontId="1" numFmtId="0" xfId="0" applyAlignment="1" applyFill="1" applyFont="1">
      <alignment horizontal="center"/>
    </xf>
    <xf borderId="0" fillId="0" fontId="3" numFmtId="0" xfId="0" applyFont="1"/>
    <xf borderId="0" fillId="0" fontId="3" numFmtId="164" xfId="0" applyFont="1" applyNumberFormat="1"/>
    <xf borderId="0" fillId="0" fontId="3" numFmtId="165" xfId="0" applyFont="1" applyNumberFormat="1"/>
    <xf borderId="0" fillId="0" fontId="3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Receptionist from respons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ntist Form respons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G1" displayName="Form_Responses" name="Form_Responses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Receptionist from respons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H1" displayName="Form_Responses2" name="Form_Responses2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Dentist Form respons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2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4.38"/>
    <col customWidth="1" min="4" max="4" width="28.0"/>
  </cols>
  <sheetData>
    <row r="1">
      <c r="A1" s="2" t="s">
        <v>3</v>
      </c>
      <c r="B1" s="2"/>
      <c r="C1" s="2"/>
      <c r="D1" s="2"/>
      <c r="E1" s="2"/>
      <c r="F1" s="2"/>
      <c r="G1" s="2"/>
      <c r="H1" s="2"/>
    </row>
    <row r="2">
      <c r="A2" s="3" t="s">
        <v>18</v>
      </c>
    </row>
    <row r="4">
      <c r="A4" s="4" t="s">
        <v>22</v>
      </c>
      <c r="B4" s="4" t="s">
        <v>26</v>
      </c>
      <c r="C4" s="4" t="s">
        <v>28</v>
      </c>
      <c r="D4" s="4" t="s">
        <v>30</v>
      </c>
      <c r="E4" s="4" t="s">
        <v>26</v>
      </c>
    </row>
    <row r="5">
      <c r="A5" s="3" t="s">
        <v>34</v>
      </c>
      <c r="B5" s="5">
        <f>COUNTA(Opportunities!A2:A100)</f>
        <v>0</v>
      </c>
      <c r="C5" s="3" t="s">
        <v>28</v>
      </c>
      <c r="D5" s="3" t="s">
        <v>38</v>
      </c>
      <c r="E5" s="6">
        <f>SUM(Opportunities!AB2:AB100)</f>
        <v>0</v>
      </c>
    </row>
    <row r="6">
      <c r="A6" s="3" t="s">
        <v>39</v>
      </c>
      <c r="B6" s="5">
        <f>COUNT(Opportunities!J2:J100)</f>
        <v>0</v>
      </c>
      <c r="C6" s="3" t="s">
        <v>28</v>
      </c>
      <c r="D6" s="3" t="s">
        <v>40</v>
      </c>
      <c r="E6" s="6">
        <f>SUM(Opportunities!AC2:AC100)</f>
        <v>0</v>
      </c>
    </row>
    <row r="7">
      <c r="A7" s="3" t="s">
        <v>41</v>
      </c>
      <c r="B7" s="5">
        <f>COUNT(Opportunities!V2:V100)</f>
        <v>0</v>
      </c>
      <c r="C7" s="3" t="s">
        <v>28</v>
      </c>
      <c r="D7" s="3" t="s">
        <v>42</v>
      </c>
      <c r="E7" s="6">
        <f>SUM(Opportunities!X2:X100)</f>
        <v>0</v>
      </c>
    </row>
    <row r="8">
      <c r="A8" s="3" t="s">
        <v>43</v>
      </c>
      <c r="B8" s="7">
        <f t="shared" ref="B8:B9" si="1">IFERROR(B6/B5,0)</f>
        <v>0</v>
      </c>
      <c r="C8" s="3" t="s">
        <v>28</v>
      </c>
      <c r="D8" s="3" t="s">
        <v>44</v>
      </c>
      <c r="E8" s="7">
        <f>IFERROR(COUNTIF(Interaction_Log!S2:S100,TRUE)/COUNTIF(Interaction_Log!S2:S100,"&lt;&gt;"),0)</f>
        <v>0</v>
      </c>
    </row>
    <row r="9">
      <c r="A9" s="3" t="s">
        <v>45</v>
      </c>
      <c r="B9" s="7">
        <f t="shared" si="1"/>
        <v>0</v>
      </c>
      <c r="C9" s="3" t="s">
        <v>28</v>
      </c>
      <c r="D9" s="3" t="s">
        <v>46</v>
      </c>
      <c r="E9" s="5">
        <f>IFERROR(AVERAGE(Opportunities!Z2:Z100),0)</f>
        <v>0</v>
      </c>
    </row>
    <row r="10">
      <c r="A10" s="3" t="s">
        <v>47</v>
      </c>
      <c r="B10" s="7">
        <f>IFERROR(COUNTIFS(Opportunities!F2:F100,"Missed Call",Opportunities!J2:J100,"&lt;&gt;")/COUNTIF(Opportunities!F2:F100,"Missed Call"),0)</f>
        <v>0</v>
      </c>
      <c r="D10" s="3" t="s">
        <v>46</v>
      </c>
      <c r="E10" s="5">
        <f>IFERROR(AVERAGE(Treatment_Opportunities!AJ2:AJ100),0)</f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</v>
      </c>
      <c r="B1" s="1" t="s">
        <v>20</v>
      </c>
      <c r="C1" s="1" t="s">
        <v>21</v>
      </c>
      <c r="D1" s="1" t="s">
        <v>23</v>
      </c>
      <c r="E1" s="1" t="s">
        <v>24</v>
      </c>
      <c r="F1" s="1" t="s">
        <v>25</v>
      </c>
      <c r="G1" s="1" t="s">
        <v>27</v>
      </c>
      <c r="H1" s="1" t="s">
        <v>29</v>
      </c>
      <c r="I1" s="1" t="s">
        <v>31</v>
      </c>
      <c r="J1" s="1" t="s">
        <v>32</v>
      </c>
      <c r="K1" s="1" t="s">
        <v>33</v>
      </c>
      <c r="L1" s="1" t="s">
        <v>35</v>
      </c>
      <c r="M1" s="1" t="s">
        <v>36</v>
      </c>
      <c r="N1" s="1" t="s">
        <v>37</v>
      </c>
      <c r="O1" s="1" t="s">
        <v>11</v>
      </c>
      <c r="P1" s="1" t="s">
        <v>13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7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8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13</v>
      </c>
      <c r="L1" s="1" t="s">
        <v>19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48</v>
      </c>
      <c r="B1" s="1" t="s">
        <v>1</v>
      </c>
      <c r="C1" s="1" t="s">
        <v>2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  <c r="Y1" s="1" t="s">
        <v>70</v>
      </c>
      <c r="Z1" s="1" t="s">
        <v>71</v>
      </c>
      <c r="AA1" s="1" t="s">
        <v>72</v>
      </c>
      <c r="AB1" s="1" t="s">
        <v>73</v>
      </c>
      <c r="AC1" s="1" t="s">
        <v>74</v>
      </c>
      <c r="AD1" s="1" t="s">
        <v>75</v>
      </c>
      <c r="AE1" s="1" t="s">
        <v>13</v>
      </c>
      <c r="AF1" s="1" t="s">
        <v>19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76</v>
      </c>
      <c r="B1" s="1" t="s">
        <v>48</v>
      </c>
      <c r="C1" s="1" t="s">
        <v>1</v>
      </c>
      <c r="D1" s="1" t="s">
        <v>2</v>
      </c>
      <c r="E1" s="1" t="s">
        <v>0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66</v>
      </c>
      <c r="S1" s="1" t="s">
        <v>89</v>
      </c>
      <c r="T1" s="1" t="s">
        <v>90</v>
      </c>
      <c r="U1" s="1" t="s">
        <v>91</v>
      </c>
      <c r="V1" s="1" t="s">
        <v>92</v>
      </c>
      <c r="W1" s="1" t="s">
        <v>93</v>
      </c>
      <c r="X1" s="1" t="s">
        <v>13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</v>
      </c>
      <c r="B1" s="1" t="s">
        <v>94</v>
      </c>
      <c r="C1" s="1" t="s">
        <v>95</v>
      </c>
      <c r="D1" s="1" t="s">
        <v>60</v>
      </c>
      <c r="E1" s="1" t="s">
        <v>96</v>
      </c>
      <c r="F1" s="1" t="s">
        <v>97</v>
      </c>
      <c r="G1" s="1" t="s">
        <v>98</v>
      </c>
      <c r="H1" s="1" t="s">
        <v>11</v>
      </c>
      <c r="I1" s="1" t="s">
        <v>13</v>
      </c>
      <c r="J1" s="1" t="s">
        <v>19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99</v>
      </c>
      <c r="B1" s="1" t="s">
        <v>2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74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8.5"/>
    <col customWidth="1" min="5" max="5" width="21.88"/>
    <col customWidth="1" min="6" max="6" width="21.25"/>
    <col customWidth="1" min="7" max="7" width="24.13"/>
    <col customWidth="1" min="8" max="13" width="18.88"/>
  </cols>
  <sheetData>
    <row r="1" ht="22.5" customHeight="1">
      <c r="A1" s="8" t="s">
        <v>115</v>
      </c>
      <c r="B1" s="8" t="s">
        <v>116</v>
      </c>
      <c r="C1" s="8" t="s">
        <v>117</v>
      </c>
      <c r="D1" s="8" t="s">
        <v>118</v>
      </c>
      <c r="E1" s="8" t="s">
        <v>119</v>
      </c>
      <c r="F1" s="8" t="s">
        <v>120</v>
      </c>
      <c r="G1" s="8" t="s">
        <v>121</v>
      </c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19.0"/>
    <col customWidth="1" min="4" max="4" width="27.5"/>
    <col customWidth="1" min="5" max="5" width="24.38"/>
    <col customWidth="1" min="6" max="6" width="18.88"/>
    <col customWidth="1" min="7" max="7" width="35.25"/>
    <col customWidth="1" min="8" max="8" width="21.88"/>
    <col customWidth="1" min="9" max="14" width="18.88"/>
  </cols>
  <sheetData>
    <row r="1" ht="22.5" customHeight="1">
      <c r="A1" s="8" t="s">
        <v>115</v>
      </c>
      <c r="B1" s="8" t="s">
        <v>116</v>
      </c>
      <c r="C1" s="8" t="s">
        <v>122</v>
      </c>
      <c r="D1" s="8" t="s">
        <v>123</v>
      </c>
      <c r="E1" s="8" t="s">
        <v>124</v>
      </c>
      <c r="F1" s="8" t="s">
        <v>125</v>
      </c>
      <c r="G1" s="8" t="s">
        <v>126</v>
      </c>
      <c r="H1" s="8" t="s">
        <v>127</v>
      </c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" t="s">
        <v>128</v>
      </c>
      <c r="B1" s="3" t="s">
        <v>129</v>
      </c>
      <c r="C1" s="3" t="s">
        <v>130</v>
      </c>
      <c r="D1" s="3" t="s">
        <v>94</v>
      </c>
      <c r="E1" s="3" t="s">
        <v>131</v>
      </c>
      <c r="F1" s="3" t="s">
        <v>60</v>
      </c>
      <c r="G1" s="3" t="s">
        <v>132</v>
      </c>
      <c r="H1" s="3" t="s">
        <v>81</v>
      </c>
      <c r="I1" s="3" t="s">
        <v>82</v>
      </c>
      <c r="J1" s="3" t="s">
        <v>133</v>
      </c>
      <c r="K1" s="3" t="s">
        <v>11</v>
      </c>
      <c r="L1" s="3" t="s">
        <v>134</v>
      </c>
    </row>
  </sheetData>
  <drawing r:id="rId1"/>
</worksheet>
</file>